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3199399f0a81a12a/Documents/"/>
    </mc:Choice>
  </mc:AlternateContent>
  <xr:revisionPtr revIDLastSave="380" documentId="8_{FDF05B0D-B272-4A50-9F93-A6A1A6293423}" xr6:coauthVersionLast="47" xr6:coauthVersionMax="47" xr10:uidLastSave="{EB310474-7F2B-4D07-83A0-FE54CA430BD4}"/>
  <bookViews>
    <workbookView xWindow="-105" yWindow="0" windowWidth="14610" windowHeight="15585" xr2:uid="{EFCBE64A-A561-40D5-A2D0-1FC5343175AD}"/>
  </bookViews>
  <sheets>
    <sheet name="Risk Acceptance Criteria" sheetId="1" r:id="rId1"/>
    <sheet name="Risk Regi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2" l="1"/>
  <c r="P4" i="2"/>
  <c r="P5" i="2"/>
  <c r="P6" i="2"/>
  <c r="P7" i="2"/>
  <c r="P8" i="2"/>
  <c r="P9" i="2"/>
  <c r="P10" i="2"/>
  <c r="P11" i="2"/>
  <c r="P2" i="2"/>
  <c r="L3" i="2"/>
  <c r="L4" i="2"/>
  <c r="L5" i="2"/>
  <c r="L6" i="2"/>
  <c r="L7" i="2"/>
  <c r="L8" i="2"/>
  <c r="L9" i="2"/>
  <c r="L10" i="2"/>
  <c r="L11" i="2"/>
  <c r="L2" i="2"/>
</calcChain>
</file>

<file path=xl/sharedStrings.xml><?xml version="1.0" encoding="utf-8"?>
<sst xmlns="http://schemas.openxmlformats.org/spreadsheetml/2006/main" count="112" uniqueCount="98">
  <si>
    <t>Risk Acceptance Criteria</t>
  </si>
  <si>
    <t>Acceptance Table</t>
  </si>
  <si>
    <t>Impact</t>
  </si>
  <si>
    <t>Probability</t>
  </si>
  <si>
    <t>Risks within the green zone of the risk matrix are deemed acceptable and within the corporate risk appetite. However, it is still advised to try and avoid, remediate, or transfer the risk if possible</t>
  </si>
  <si>
    <t>Risks within the amber zone should be mitigated. 
Alternatively, these risk can be formally accepted by the business or escalated to the senior management team for discussion</t>
  </si>
  <si>
    <t>Risks within the red zone must be mitigated via appropriate controls. 
Alternatively, these risk can be formally accepted by the business or escalated to the senior management team for discussion</t>
  </si>
  <si>
    <t>Reference ID</t>
  </si>
  <si>
    <t>Risk Owner</t>
  </si>
  <si>
    <t>Risk Response</t>
  </si>
  <si>
    <t>Title</t>
  </si>
  <si>
    <t>Control Title</t>
  </si>
  <si>
    <t>Control Description</t>
  </si>
  <si>
    <t>Control Status</t>
  </si>
  <si>
    <t>R001</t>
  </si>
  <si>
    <t>R002</t>
  </si>
  <si>
    <t>R003</t>
  </si>
  <si>
    <t>R004</t>
  </si>
  <si>
    <t>S. G.</t>
  </si>
  <si>
    <t>Inherent Impact</t>
  </si>
  <si>
    <t>Inherent Probability</t>
  </si>
  <si>
    <t>Inherent Risk</t>
  </si>
  <si>
    <t>Residual Impact</t>
  </si>
  <si>
    <t>Residual Probability</t>
  </si>
  <si>
    <t>Residual Risk</t>
  </si>
  <si>
    <t>Avoidance</t>
  </si>
  <si>
    <t>Unauthorized users may gain access to ePHI due to excessive user privileges.</t>
  </si>
  <si>
    <t>Excessive Permissions</t>
  </si>
  <si>
    <t>Phishing (Credential Compromise</t>
  </si>
  <si>
    <t>R005</t>
  </si>
  <si>
    <t>R006</t>
  </si>
  <si>
    <t>R007</t>
  </si>
  <si>
    <t>R008</t>
  </si>
  <si>
    <t>R009</t>
  </si>
  <si>
    <t>R010</t>
  </si>
  <si>
    <t>Ransomware Disrupting Clinical Operations</t>
  </si>
  <si>
    <t>Insufficient Backups</t>
  </si>
  <si>
    <t>ePHI may be permanently lost due to insufficient backups or untested recovery procedures.</t>
  </si>
  <si>
    <t>Workforce members may disclose credentials through phishing attacks due to insufficient training or email protections.</t>
  </si>
  <si>
    <t>Outdated Encryption Standards</t>
  </si>
  <si>
    <t>Vendor Data Breach</t>
  </si>
  <si>
    <t>Limited Logging of Low-Risk Systems</t>
  </si>
  <si>
    <t>End-of-Life Systems</t>
  </si>
  <si>
    <t>Loss of Theft of Mobile Devices</t>
  </si>
  <si>
    <t>Possible breach of ePHI due to deprecated encryption protocols</t>
  </si>
  <si>
    <t>Low impact/legacy systems have limited logging capabilities</t>
  </si>
  <si>
    <t>Unsupported systems can expose the organization to unpatchable vulnerabilities</t>
  </si>
  <si>
    <t>Mobile devices containing regulated information can be lost or stolen</t>
  </si>
  <si>
    <t>Mitigation</t>
  </si>
  <si>
    <t>Transference</t>
  </si>
  <si>
    <t>Acceptance</t>
  </si>
  <si>
    <t>Mitigation/Transference</t>
  </si>
  <si>
    <t>Access Controls and Policies</t>
  </si>
  <si>
    <t>Email Filtering and Employee Training</t>
  </si>
  <si>
    <t>Malware or ransomware may encrypt systems and disrupt patient care.</t>
  </si>
  <si>
    <t>Update Encryption Protocols and Standards</t>
  </si>
  <si>
    <t>Contractual Obligations and Insurance</t>
  </si>
  <si>
    <t>N/A</t>
  </si>
  <si>
    <t>Retire Outdated Systems</t>
  </si>
  <si>
    <t>MDM Software and Insurance</t>
  </si>
  <si>
    <t>Applicable Framework Controls</t>
  </si>
  <si>
    <t>Adequate Backup Systems and Recurring Testing</t>
  </si>
  <si>
    <r>
      <rPr>
        <b/>
        <sz val="11"/>
        <color theme="1"/>
        <rFont val="Aptos Narrow"/>
        <family val="2"/>
        <scheme val="minor"/>
      </rPr>
      <t xml:space="preserve">NIST SP 800-53: </t>
    </r>
    <r>
      <rPr>
        <sz val="11"/>
        <color theme="1"/>
        <rFont val="Aptos Narrow"/>
        <family val="2"/>
        <scheme val="minor"/>
      </rPr>
      <t xml:space="preserve">AC-6
</t>
    </r>
    <r>
      <rPr>
        <b/>
        <sz val="11"/>
        <color theme="1"/>
        <rFont val="Aptos Narrow"/>
        <family val="2"/>
        <scheme val="minor"/>
      </rPr>
      <t>ISO 27001:</t>
    </r>
    <r>
      <rPr>
        <sz val="11"/>
        <color theme="1"/>
        <rFont val="Aptos Narrow"/>
        <family val="2"/>
        <scheme val="minor"/>
      </rPr>
      <t xml:space="preserve"> A.5.18
</t>
    </r>
    <r>
      <rPr>
        <b/>
        <sz val="11"/>
        <color theme="1"/>
        <rFont val="Aptos Narrow"/>
        <family val="2"/>
        <scheme val="minor"/>
      </rPr>
      <t>HIPAA:</t>
    </r>
    <r>
      <rPr>
        <sz val="11"/>
        <color theme="1"/>
        <rFont val="Aptos Narrow"/>
        <family val="2"/>
        <scheme val="minor"/>
      </rPr>
      <t xml:space="preserve"> 164.312(a)(1)</t>
    </r>
  </si>
  <si>
    <r>
      <rPr>
        <b/>
        <sz val="11"/>
        <color theme="1"/>
        <rFont val="Aptos Narrow"/>
        <family val="2"/>
        <scheme val="minor"/>
      </rPr>
      <t>NIST SP 800-53:</t>
    </r>
    <r>
      <rPr>
        <sz val="11"/>
        <color theme="1"/>
        <rFont val="Aptos Narrow"/>
        <family val="2"/>
        <scheme val="minor"/>
      </rPr>
      <t xml:space="preserve"> AT-2
</t>
    </r>
    <r>
      <rPr>
        <b/>
        <sz val="11"/>
        <color theme="1"/>
        <rFont val="Aptos Narrow"/>
        <family val="2"/>
        <scheme val="minor"/>
      </rPr>
      <t>ISO 27001:</t>
    </r>
    <r>
      <rPr>
        <sz val="11"/>
        <color theme="1"/>
        <rFont val="Aptos Narrow"/>
        <family val="2"/>
        <scheme val="minor"/>
      </rPr>
      <t xml:space="preserve"> A.6.3
</t>
    </r>
    <r>
      <rPr>
        <b/>
        <sz val="11"/>
        <color theme="1"/>
        <rFont val="Aptos Narrow"/>
        <family val="2"/>
        <scheme val="minor"/>
      </rPr>
      <t xml:space="preserve">HIPAA: </t>
    </r>
    <r>
      <rPr>
        <sz val="11"/>
        <color theme="1"/>
        <rFont val="Aptos Narrow"/>
        <family val="2"/>
        <scheme val="minor"/>
      </rPr>
      <t>164.308(a)(5)</t>
    </r>
  </si>
  <si>
    <r>
      <rPr>
        <b/>
        <sz val="11"/>
        <color theme="1"/>
        <rFont val="Aptos Narrow"/>
        <family val="2"/>
        <scheme val="minor"/>
      </rPr>
      <t xml:space="preserve">NIST SP 800-53: </t>
    </r>
    <r>
      <rPr>
        <sz val="11"/>
        <color theme="1"/>
        <rFont val="Aptos Narrow"/>
        <family val="2"/>
        <scheme val="minor"/>
      </rPr>
      <t xml:space="preserve">CP-9, CP-4 
</t>
    </r>
    <r>
      <rPr>
        <b/>
        <sz val="11"/>
        <color theme="1"/>
        <rFont val="Aptos Narrow"/>
        <family val="2"/>
        <scheme val="minor"/>
      </rPr>
      <t>ISO 27001:</t>
    </r>
    <r>
      <rPr>
        <sz val="11"/>
        <color theme="1"/>
        <rFont val="Aptos Narrow"/>
        <family val="2"/>
        <scheme val="minor"/>
      </rPr>
      <t xml:space="preserve"> A.8.13
</t>
    </r>
    <r>
      <rPr>
        <b/>
        <sz val="11"/>
        <color theme="1"/>
        <rFont val="Aptos Narrow"/>
        <family val="2"/>
        <scheme val="minor"/>
      </rPr>
      <t xml:space="preserve">HIPAA: </t>
    </r>
    <r>
      <rPr>
        <sz val="11"/>
        <color theme="1"/>
        <rFont val="Aptos Narrow"/>
        <family val="2"/>
        <scheme val="minor"/>
      </rPr>
      <t>164.308(a)(7)(ii)(A-B)</t>
    </r>
  </si>
  <si>
    <r>
      <t xml:space="preserve">NIST SP 800-53: </t>
    </r>
    <r>
      <rPr>
        <sz val="11"/>
        <color theme="1"/>
        <rFont val="Aptos Narrow"/>
        <family val="2"/>
        <scheme val="minor"/>
      </rPr>
      <t xml:space="preserve">CP-2, CP-9
</t>
    </r>
    <r>
      <rPr>
        <b/>
        <sz val="11"/>
        <color theme="1"/>
        <rFont val="Aptos Narrow"/>
        <family val="2"/>
        <scheme val="minor"/>
      </rPr>
      <t xml:space="preserve">ISO 27001: </t>
    </r>
    <r>
      <rPr>
        <sz val="11"/>
        <color theme="1"/>
        <rFont val="Aptos Narrow"/>
        <family val="2"/>
        <scheme val="minor"/>
      </rPr>
      <t xml:space="preserve">A.5.30
</t>
    </r>
    <r>
      <rPr>
        <b/>
        <sz val="11"/>
        <color theme="1"/>
        <rFont val="Aptos Narrow"/>
        <family val="2"/>
        <scheme val="minor"/>
      </rPr>
      <t xml:space="preserve">HIPAA: </t>
    </r>
    <r>
      <rPr>
        <sz val="11"/>
        <color theme="1"/>
        <rFont val="Aptos Narrow"/>
        <family val="2"/>
        <scheme val="minor"/>
      </rPr>
      <t>164.308(a)(7)</t>
    </r>
  </si>
  <si>
    <r>
      <t xml:space="preserve">NIST SP 800-53: </t>
    </r>
    <r>
      <rPr>
        <sz val="11"/>
        <color theme="1"/>
        <rFont val="Aptos Narrow"/>
        <family val="2"/>
        <scheme val="minor"/>
      </rPr>
      <t>SC-12, SC-13</t>
    </r>
    <r>
      <rPr>
        <b/>
        <sz val="11"/>
        <color theme="1"/>
        <rFont val="Aptos Narrow"/>
        <family val="2"/>
        <scheme val="minor"/>
      </rPr>
      <t xml:space="preserve">
ISO 27001: </t>
    </r>
    <r>
      <rPr>
        <sz val="11"/>
        <color theme="1"/>
        <rFont val="Aptos Narrow"/>
        <family val="2"/>
        <scheme val="minor"/>
      </rPr>
      <t xml:space="preserve">A.8.24
</t>
    </r>
    <r>
      <rPr>
        <b/>
        <sz val="11"/>
        <color theme="1"/>
        <rFont val="Aptos Narrow"/>
        <family val="2"/>
        <scheme val="minor"/>
      </rPr>
      <t xml:space="preserve">HIPAA: </t>
    </r>
    <r>
      <rPr>
        <sz val="11"/>
        <color theme="1"/>
        <rFont val="Aptos Narrow"/>
        <family val="2"/>
        <scheme val="minor"/>
      </rPr>
      <t>164.312(e)(1)</t>
    </r>
  </si>
  <si>
    <r>
      <t xml:space="preserve">NIST SP 800-53: </t>
    </r>
    <r>
      <rPr>
        <sz val="11"/>
        <color theme="1"/>
        <rFont val="Aptos Narrow"/>
        <family val="2"/>
        <scheme val="minor"/>
      </rPr>
      <t xml:space="preserve"> PL-2
</t>
    </r>
    <r>
      <rPr>
        <b/>
        <sz val="11"/>
        <color theme="1"/>
        <rFont val="Aptos Narrow"/>
        <family val="2"/>
        <scheme val="minor"/>
      </rPr>
      <t>ISO 27001:</t>
    </r>
    <r>
      <rPr>
        <sz val="11"/>
        <color theme="1"/>
        <rFont val="Aptos Narrow"/>
        <family val="2"/>
        <scheme val="minor"/>
      </rPr>
      <t xml:space="preserve"> 6.1.3
</t>
    </r>
    <r>
      <rPr>
        <b/>
        <sz val="11"/>
        <color theme="1"/>
        <rFont val="Aptos Narrow"/>
        <family val="2"/>
        <scheme val="minor"/>
      </rPr>
      <t xml:space="preserve">HIPAA: </t>
    </r>
    <r>
      <rPr>
        <sz val="11"/>
        <color theme="1"/>
        <rFont val="Aptos Narrow"/>
        <family val="2"/>
        <scheme val="minor"/>
      </rPr>
      <t>164.308(a)(1)(ii)(B)</t>
    </r>
  </si>
  <si>
    <r>
      <t xml:space="preserve">NIST SP 800-53: </t>
    </r>
    <r>
      <rPr>
        <sz val="11"/>
        <color theme="1"/>
        <rFont val="Aptos Narrow"/>
        <family val="2"/>
        <scheme val="minor"/>
      </rPr>
      <t xml:space="preserve">SI-1
</t>
    </r>
    <r>
      <rPr>
        <b/>
        <sz val="11"/>
        <color theme="1"/>
        <rFont val="Aptos Narrow"/>
        <family val="2"/>
        <scheme val="minor"/>
      </rPr>
      <t xml:space="preserve">ISO 27001: </t>
    </r>
    <r>
      <rPr>
        <sz val="11"/>
        <color theme="1"/>
        <rFont val="Aptos Narrow"/>
        <family val="2"/>
        <scheme val="minor"/>
      </rPr>
      <t>A.8.32</t>
    </r>
    <r>
      <rPr>
        <b/>
        <sz val="11"/>
        <color theme="1"/>
        <rFont val="Aptos Narrow"/>
        <family val="2"/>
        <scheme val="minor"/>
      </rPr>
      <t xml:space="preserve">
HIPAA: </t>
    </r>
    <r>
      <rPr>
        <sz val="11"/>
        <color theme="1"/>
        <rFont val="Aptos Narrow"/>
        <family val="2"/>
        <scheme val="minor"/>
      </rPr>
      <t>164.308(a)(1)(ii)(A)</t>
    </r>
  </si>
  <si>
    <r>
      <t xml:space="preserve">NIST SP 800-53: </t>
    </r>
    <r>
      <rPr>
        <sz val="11"/>
        <color theme="1"/>
        <rFont val="Aptos Narrow"/>
        <family val="2"/>
        <scheme val="minor"/>
      </rPr>
      <t xml:space="preserve">MP-7
</t>
    </r>
    <r>
      <rPr>
        <b/>
        <sz val="11"/>
        <color theme="1"/>
        <rFont val="Aptos Narrow"/>
        <family val="2"/>
        <scheme val="minor"/>
      </rPr>
      <t>ISO 27001:</t>
    </r>
    <r>
      <rPr>
        <sz val="11"/>
        <color theme="1"/>
        <rFont val="Aptos Narrow"/>
        <family val="2"/>
        <scheme val="minor"/>
      </rPr>
      <t xml:space="preserve"> A.6.7</t>
    </r>
    <r>
      <rPr>
        <b/>
        <sz val="11"/>
        <color theme="1"/>
        <rFont val="Aptos Narrow"/>
        <family val="2"/>
        <scheme val="minor"/>
      </rPr>
      <t xml:space="preserve">
HIPAA: </t>
    </r>
    <r>
      <rPr>
        <sz val="11"/>
        <color theme="1"/>
        <rFont val="Aptos Narrow"/>
        <family val="2"/>
        <scheme val="minor"/>
      </rPr>
      <t>164.310(d)(2)(i)</t>
    </r>
  </si>
  <si>
    <t>Control Justification</t>
  </si>
  <si>
    <t>Access control types such as RBAC will lower the probability that an individual will have the ability to affect the confidentiality, integrity, or availability of data or systems. Policies will standardize the way access is granted within organization environments.</t>
  </si>
  <si>
    <t xml:space="preserve">Employee training allows employees to identify and report possible phishing attempts, decreasing probability. Email filtering will block possible phishing attempts. </t>
  </si>
  <si>
    <t>Backup systems will allow the organization to continue operation in crisis scenarios. Recurring backup testing is necessary to ensure integrity of backups and business continuity incase of emergencies.</t>
  </si>
  <si>
    <t>Update  Backup Procedures</t>
  </si>
  <si>
    <t>Ensuring proper procedures for data backups including testing recovery from backups will clarify possible data loss scenarios to be remediated.</t>
  </si>
  <si>
    <t>Updating encryption protocols and standards will protect the confidentiality of ePHI preventing unauthorized decryption.</t>
  </si>
  <si>
    <t>Low impact/legacy systems do not contain any confidential information and therefore present a low risk which can be accepted based on company policy</t>
  </si>
  <si>
    <t>Cyber liability insurance and appropriate breach language within BAAs will mitigate the impact of a BA security breach. These will lower the financial impact experienced by the company but reputational damage is still likely.</t>
  </si>
  <si>
    <t>End-of-life systems can be decomissioned to avoid unpatchable vulnerabilities where possible.</t>
  </si>
  <si>
    <t>MDM software will allow the organization to remotely wipe company devices of confidential information incase of theft or loss. Insurance will lower the financial impact of replacing lost or stolen equipment.</t>
  </si>
  <si>
    <t>A business associate/third-party may experience a security incident compromising ePHI</t>
  </si>
  <si>
    <t>Insider threat from authorized users</t>
  </si>
  <si>
    <t>Authorized users may intentionally or unintentionally misuse access to ePHI due to lack of monitoring or role enforcement.</t>
  </si>
  <si>
    <t>Employee screening, training, and monitoring</t>
  </si>
  <si>
    <r>
      <t xml:space="preserve">NIST SP 800-53: </t>
    </r>
    <r>
      <rPr>
        <sz val="11"/>
        <color theme="1"/>
        <rFont val="Aptos Narrow"/>
        <family val="2"/>
        <scheme val="minor"/>
      </rPr>
      <t xml:space="preserve">SP-3, AC-6
</t>
    </r>
    <r>
      <rPr>
        <b/>
        <sz val="11"/>
        <color theme="1"/>
        <rFont val="Aptos Narrow"/>
        <family val="2"/>
        <scheme val="minor"/>
      </rPr>
      <t>ISO 27001:</t>
    </r>
    <r>
      <rPr>
        <sz val="11"/>
        <color theme="1"/>
        <rFont val="Aptos Narrow"/>
        <family val="2"/>
        <scheme val="minor"/>
      </rPr>
      <t xml:space="preserve"> A.6.1 
</t>
    </r>
    <r>
      <rPr>
        <b/>
        <sz val="11"/>
        <color theme="1"/>
        <rFont val="Aptos Narrow"/>
        <family val="2"/>
        <scheme val="minor"/>
      </rPr>
      <t xml:space="preserve">HIPAA: </t>
    </r>
    <r>
      <rPr>
        <sz val="11"/>
        <color theme="1"/>
        <rFont val="Aptos Narrow"/>
        <family val="2"/>
        <scheme val="minor"/>
      </rPr>
      <t>164.308(a)(3)</t>
    </r>
  </si>
  <si>
    <t>Employee screening reduces the likelihood of malicious insiders. Training will reduce accidental misuse of permissions or confidential information. Continous monitoring will detect anamolous activity allowing incident response teams to take approriate action.</t>
  </si>
  <si>
    <t>Control Effectiveness</t>
  </si>
  <si>
    <t>Critical</t>
  </si>
  <si>
    <t>High</t>
  </si>
  <si>
    <t>Medium</t>
  </si>
  <si>
    <t>Low</t>
  </si>
  <si>
    <t>Negligible</t>
  </si>
  <si>
    <t>Rare</t>
  </si>
  <si>
    <t>Unlikely</t>
  </si>
  <si>
    <t>Moderate</t>
  </si>
  <si>
    <t>Likely</t>
  </si>
  <si>
    <t>Certain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</si>
</sst>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b/>
      <sz val="20"/>
      <color theme="1"/>
      <name val="Aptos Narrow"/>
      <family val="2"/>
      <scheme val="minor"/>
    </font>
    <font>
      <sz val="11"/>
      <color theme="1"/>
      <name val="Segoe UI"/>
      <family val="2"/>
    </font>
    <font>
      <b/>
      <sz val="11"/>
      <color theme="1"/>
      <name val="Aptos Narrow"/>
      <family val="2"/>
      <scheme val="minor"/>
    </font>
  </fonts>
  <fills count="6">
    <fill>
      <patternFill patternType="none"/>
    </fill>
    <fill>
      <patternFill patternType="gray125"/>
    </fill>
    <fill>
      <patternFill patternType="solid">
        <fgColor theme="6" tint="0.39997558519241921"/>
        <bgColor indexed="64"/>
      </patternFill>
    </fill>
    <fill>
      <patternFill patternType="solid">
        <fgColor rgb="FFFF0000"/>
        <bgColor indexed="64"/>
      </patternFill>
    </fill>
    <fill>
      <patternFill patternType="solid">
        <fgColor rgb="FFFF9900"/>
        <bgColor indexed="64"/>
      </patternFill>
    </fill>
    <fill>
      <patternFill patternType="solid">
        <fgColor theme="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0" fillId="0" borderId="1" xfId="0" applyBorder="1"/>
    <xf numFmtId="0" fontId="0" fillId="0" borderId="1" xfId="0" applyBorder="1" applyAlignment="1">
      <alignment horizontal="center" vertical="center"/>
    </xf>
    <xf numFmtId="0" fontId="0" fillId="2" borderId="1" xfId="0" applyFill="1" applyBorder="1"/>
    <xf numFmtId="0" fontId="0" fillId="3" borderId="1" xfId="0" applyFill="1" applyBorder="1"/>
    <xf numFmtId="0" fontId="0" fillId="4" borderId="1" xfId="0" applyFill="1" applyBorder="1"/>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xf>
    <xf numFmtId="0" fontId="0" fillId="0" borderId="0" xfId="0" applyAlignment="1">
      <alignment vertical="center" wrapText="1"/>
    </xf>
    <xf numFmtId="0" fontId="0" fillId="0" borderId="1" xfId="0" applyBorder="1" applyAlignment="1">
      <alignment vertical="center" wrapText="1"/>
    </xf>
    <xf numFmtId="0" fontId="0" fillId="3" borderId="0" xfId="0" applyFill="1" applyAlignment="1">
      <alignment horizontal="left" vertical="top" wrapText="1"/>
    </xf>
    <xf numFmtId="0" fontId="0" fillId="3" borderId="0" xfId="0" applyFill="1" applyAlignment="1">
      <alignment horizontal="left" vertical="top"/>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0" fillId="2" borderId="0" xfId="0" applyFill="1" applyAlignment="1">
      <alignment horizontal="left" vertical="top" wrapText="1"/>
    </xf>
    <xf numFmtId="0" fontId="0" fillId="4" borderId="0" xfId="0" applyFill="1" applyAlignment="1">
      <alignment horizontal="left" vertical="top" wrapText="1"/>
    </xf>
    <xf numFmtId="0" fontId="0" fillId="4" borderId="0" xfId="0" applyFill="1" applyAlignment="1">
      <alignment horizontal="left" vertical="top"/>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5" borderId="1" xfId="0" applyFill="1" applyBorder="1"/>
  </cellXfs>
  <cellStyles count="1">
    <cellStyle name="Normal" xfId="0" builtinId="0"/>
  </cellStyles>
  <dxfs count="6">
    <dxf>
      <fill>
        <patternFill>
          <bgColor rgb="FF00B050"/>
        </patternFill>
      </fill>
    </dxf>
    <dxf>
      <fill>
        <patternFill>
          <bgColor rgb="FFFF9900"/>
        </patternFill>
      </fill>
    </dxf>
    <dxf>
      <fill>
        <patternFill>
          <bgColor rgb="FFFF0000"/>
        </patternFill>
      </fill>
    </dxf>
    <dxf>
      <fill>
        <patternFill>
          <bgColor rgb="FFFF0000"/>
        </patternFill>
      </fill>
    </dxf>
    <dxf>
      <fill>
        <patternFill>
          <bgColor rgb="FF00B050"/>
        </patternFill>
      </fill>
    </dxf>
    <dxf>
      <fill>
        <patternFill>
          <bgColor rgb="FFFF9900"/>
        </patternFill>
      </fill>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5407C-5FCA-4385-B729-392B459316C1}">
  <dimension ref="A1:H23"/>
  <sheetViews>
    <sheetView tabSelected="1" workbookViewId="0">
      <selection activeCell="K9" sqref="K9"/>
    </sheetView>
  </sheetViews>
  <sheetFormatPr defaultRowHeight="15" x14ac:dyDescent="0.25"/>
  <cols>
    <col min="1" max="1" width="14.28515625" customWidth="1"/>
    <col min="2" max="2" width="19" customWidth="1"/>
    <col min="3" max="3" width="9.85546875" bestFit="1" customWidth="1"/>
    <col min="5" max="5" width="8" bestFit="1" customWidth="1"/>
    <col min="6" max="6" width="9.28515625" bestFit="1" customWidth="1"/>
  </cols>
  <sheetData>
    <row r="1" spans="1:8" ht="26.25" x14ac:dyDescent="0.4">
      <c r="A1" s="16" t="s">
        <v>0</v>
      </c>
      <c r="B1" s="17"/>
      <c r="C1" s="17"/>
      <c r="D1" s="17"/>
      <c r="E1" s="17"/>
      <c r="F1" s="17"/>
      <c r="G1" s="17"/>
      <c r="H1" s="18"/>
    </row>
    <row r="5" spans="1:8" x14ac:dyDescent="0.25">
      <c r="B5" s="1" t="s">
        <v>1</v>
      </c>
      <c r="C5" s="22" t="s">
        <v>3</v>
      </c>
      <c r="D5" s="23"/>
      <c r="E5" s="23"/>
      <c r="F5" s="23"/>
      <c r="G5" s="23"/>
      <c r="H5" s="24"/>
    </row>
    <row r="6" spans="1:8" x14ac:dyDescent="0.25">
      <c r="B6" s="25" t="s">
        <v>2</v>
      </c>
      <c r="C6" s="28"/>
      <c r="D6" s="11" t="s">
        <v>93</v>
      </c>
      <c r="E6" s="11" t="s">
        <v>94</v>
      </c>
      <c r="F6" s="11" t="s">
        <v>95</v>
      </c>
      <c r="G6" s="11" t="s">
        <v>96</v>
      </c>
      <c r="H6" s="11" t="s">
        <v>97</v>
      </c>
    </row>
    <row r="7" spans="1:8" x14ac:dyDescent="0.25">
      <c r="B7" s="26"/>
      <c r="C7" s="2" t="s">
        <v>92</v>
      </c>
      <c r="D7" s="3">
        <v>1</v>
      </c>
      <c r="E7" s="3">
        <v>2</v>
      </c>
      <c r="F7" s="3">
        <v>3</v>
      </c>
      <c r="G7" s="3">
        <v>4</v>
      </c>
      <c r="H7" s="3">
        <v>5</v>
      </c>
    </row>
    <row r="8" spans="1:8" x14ac:dyDescent="0.25">
      <c r="B8" s="26"/>
      <c r="C8" s="2" t="s">
        <v>91</v>
      </c>
      <c r="D8" s="3">
        <v>2</v>
      </c>
      <c r="E8" s="3">
        <v>4</v>
      </c>
      <c r="F8" s="3">
        <v>6</v>
      </c>
      <c r="G8" s="3">
        <v>8</v>
      </c>
      <c r="H8" s="3">
        <v>10</v>
      </c>
    </row>
    <row r="9" spans="1:8" x14ac:dyDescent="0.25">
      <c r="B9" s="26"/>
      <c r="C9" s="2" t="s">
        <v>90</v>
      </c>
      <c r="D9" s="3">
        <v>3</v>
      </c>
      <c r="E9" s="3">
        <v>6</v>
      </c>
      <c r="F9" s="3">
        <v>9</v>
      </c>
      <c r="G9" s="3">
        <v>12</v>
      </c>
      <c r="H9" s="5">
        <v>15</v>
      </c>
    </row>
    <row r="10" spans="1:8" x14ac:dyDescent="0.25">
      <c r="B10" s="26"/>
      <c r="C10" s="2" t="s">
        <v>89</v>
      </c>
      <c r="D10" s="3">
        <v>4</v>
      </c>
      <c r="E10" s="3">
        <v>8</v>
      </c>
      <c r="F10" s="3">
        <v>12</v>
      </c>
      <c r="G10" s="5">
        <v>16</v>
      </c>
      <c r="H10" s="4">
        <v>20</v>
      </c>
    </row>
    <row r="11" spans="1:8" x14ac:dyDescent="0.25">
      <c r="B11" s="27"/>
      <c r="C11" s="2" t="s">
        <v>88</v>
      </c>
      <c r="D11" s="3">
        <v>5</v>
      </c>
      <c r="E11" s="3">
        <v>10</v>
      </c>
      <c r="F11" s="5">
        <v>15</v>
      </c>
      <c r="G11" s="4">
        <v>20</v>
      </c>
      <c r="H11" s="4">
        <v>25</v>
      </c>
    </row>
    <row r="13" spans="1:8" ht="15" customHeight="1" x14ac:dyDescent="0.25">
      <c r="B13" s="19" t="s">
        <v>4</v>
      </c>
      <c r="C13" s="19"/>
      <c r="D13" s="19"/>
      <c r="E13" s="19"/>
      <c r="F13" s="19"/>
      <c r="G13" s="19"/>
      <c r="H13" s="19"/>
    </row>
    <row r="14" spans="1:8" x14ac:dyDescent="0.25">
      <c r="B14" s="19"/>
      <c r="C14" s="19"/>
      <c r="D14" s="19"/>
      <c r="E14" s="19"/>
      <c r="F14" s="19"/>
      <c r="G14" s="19"/>
      <c r="H14" s="19"/>
    </row>
    <row r="15" spans="1:8" x14ac:dyDescent="0.25">
      <c r="B15" s="19"/>
      <c r="C15" s="19"/>
      <c r="D15" s="19"/>
      <c r="E15" s="19"/>
      <c r="F15" s="19"/>
      <c r="G15" s="19"/>
      <c r="H15" s="19"/>
    </row>
    <row r="17" spans="2:8" x14ac:dyDescent="0.25">
      <c r="B17" s="20" t="s">
        <v>5</v>
      </c>
      <c r="C17" s="20"/>
      <c r="D17" s="21"/>
      <c r="E17" s="21"/>
      <c r="F17" s="21"/>
      <c r="G17" s="21"/>
      <c r="H17" s="21"/>
    </row>
    <row r="18" spans="2:8" x14ac:dyDescent="0.25">
      <c r="B18" s="21"/>
      <c r="C18" s="21"/>
      <c r="D18" s="21"/>
      <c r="E18" s="21"/>
      <c r="F18" s="21"/>
      <c r="G18" s="21"/>
      <c r="H18" s="21"/>
    </row>
    <row r="19" spans="2:8" x14ac:dyDescent="0.25">
      <c r="B19" s="21"/>
      <c r="C19" s="21"/>
      <c r="D19" s="21"/>
      <c r="E19" s="21"/>
      <c r="F19" s="21"/>
      <c r="G19" s="21"/>
      <c r="H19" s="21"/>
    </row>
    <row r="21" spans="2:8" x14ac:dyDescent="0.25">
      <c r="B21" s="14" t="s">
        <v>6</v>
      </c>
      <c r="C21" s="14"/>
      <c r="D21" s="15"/>
      <c r="E21" s="15"/>
      <c r="F21" s="15"/>
      <c r="G21" s="15"/>
      <c r="H21" s="15"/>
    </row>
    <row r="22" spans="2:8" x14ac:dyDescent="0.25">
      <c r="B22" s="15"/>
      <c r="C22" s="15"/>
      <c r="D22" s="15"/>
      <c r="E22" s="15"/>
      <c r="F22" s="15"/>
      <c r="G22" s="15"/>
      <c r="H22" s="15"/>
    </row>
    <row r="23" spans="2:8" x14ac:dyDescent="0.25">
      <c r="B23" s="15"/>
      <c r="C23" s="15"/>
      <c r="D23" s="15"/>
      <c r="E23" s="15"/>
      <c r="F23" s="15"/>
      <c r="G23" s="15"/>
      <c r="H23" s="15"/>
    </row>
  </sheetData>
  <mergeCells count="6">
    <mergeCell ref="B21:H23"/>
    <mergeCell ref="A1:H1"/>
    <mergeCell ref="B13:H15"/>
    <mergeCell ref="B17:H19"/>
    <mergeCell ref="C5:H5"/>
    <mergeCell ref="B6:B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3D824-C594-4225-8B39-164BBC28A962}">
  <dimension ref="A1:T11"/>
  <sheetViews>
    <sheetView workbookViewId="0">
      <selection activeCell="H2" sqref="H2"/>
    </sheetView>
  </sheetViews>
  <sheetFormatPr defaultRowHeight="15" x14ac:dyDescent="0.25"/>
  <cols>
    <col min="1" max="1" width="11.85546875" bestFit="1" customWidth="1"/>
    <col min="2" max="2" width="10.85546875" style="6" bestFit="1" customWidth="1"/>
    <col min="3" max="3" width="22.42578125" style="6" bestFit="1" customWidth="1"/>
    <col min="4" max="4" width="21.140625" style="7" customWidth="1"/>
    <col min="5" max="5" width="32.7109375" style="6" customWidth="1"/>
    <col min="6" max="6" width="11.5703125" style="6" bestFit="1" customWidth="1"/>
    <col min="7" max="7" width="15.7109375" style="6" bestFit="1" customWidth="1"/>
    <col min="8" max="8" width="15.7109375" style="6" customWidth="1"/>
    <col min="9" max="9" width="19.42578125" style="6" bestFit="1" customWidth="1"/>
    <col min="10" max="10" width="15" style="6" bestFit="1" customWidth="1"/>
    <col min="11" max="11" width="18.5703125" style="6" bestFit="1" customWidth="1"/>
    <col min="12" max="12" width="12.42578125" style="6" bestFit="1" customWidth="1"/>
    <col min="13" max="13" width="9.140625" style="6"/>
    <col min="14" max="14" width="15.42578125" style="6" bestFit="1" customWidth="1"/>
    <col min="15" max="15" width="19" style="6" bestFit="1" customWidth="1"/>
    <col min="16" max="16" width="12.85546875" style="6" bestFit="1" customWidth="1"/>
    <col min="17" max="17" width="9.140625" style="6"/>
    <col min="18" max="18" width="29.140625" style="6" bestFit="1" customWidth="1"/>
    <col min="20" max="20" width="45.7109375" style="12" customWidth="1"/>
  </cols>
  <sheetData>
    <row r="1" spans="1:20" x14ac:dyDescent="0.25">
      <c r="A1" s="1" t="s">
        <v>7</v>
      </c>
      <c r="B1" s="2" t="s">
        <v>8</v>
      </c>
      <c r="C1" s="2" t="s">
        <v>9</v>
      </c>
      <c r="D1" s="8" t="s">
        <v>10</v>
      </c>
      <c r="E1" s="2" t="s">
        <v>12</v>
      </c>
      <c r="F1" s="2" t="s">
        <v>11</v>
      </c>
      <c r="G1" s="2"/>
      <c r="H1" s="2" t="s">
        <v>13</v>
      </c>
      <c r="I1" s="2" t="s">
        <v>87</v>
      </c>
      <c r="J1" s="2" t="s">
        <v>19</v>
      </c>
      <c r="K1" s="2" t="s">
        <v>20</v>
      </c>
      <c r="L1" s="2" t="s">
        <v>21</v>
      </c>
      <c r="M1" s="2"/>
      <c r="N1" s="2" t="s">
        <v>22</v>
      </c>
      <c r="O1" s="2" t="s">
        <v>23</v>
      </c>
      <c r="P1" s="2" t="s">
        <v>24</v>
      </c>
      <c r="Q1" s="2"/>
      <c r="R1" s="2" t="s">
        <v>60</v>
      </c>
      <c r="S1" s="1"/>
      <c r="T1" s="13" t="s">
        <v>70</v>
      </c>
    </row>
    <row r="2" spans="1:20" ht="90" x14ac:dyDescent="0.25">
      <c r="A2" s="2" t="s">
        <v>14</v>
      </c>
      <c r="B2" s="2" t="s">
        <v>18</v>
      </c>
      <c r="C2" s="2" t="s">
        <v>48</v>
      </c>
      <c r="D2" s="8" t="s">
        <v>27</v>
      </c>
      <c r="E2" s="8" t="s">
        <v>26</v>
      </c>
      <c r="F2" s="9" t="s">
        <v>52</v>
      </c>
      <c r="G2" s="2"/>
      <c r="H2" s="2"/>
      <c r="I2" s="2"/>
      <c r="J2" s="2">
        <v>5</v>
      </c>
      <c r="K2" s="2">
        <v>4</v>
      </c>
      <c r="L2" s="2">
        <f>$J2*$K2</f>
        <v>20</v>
      </c>
      <c r="M2" s="2"/>
      <c r="N2" s="2">
        <v>5</v>
      </c>
      <c r="O2" s="2">
        <v>2</v>
      </c>
      <c r="P2" s="2">
        <f>$N2*$O2</f>
        <v>10</v>
      </c>
      <c r="Q2" s="2"/>
      <c r="R2" s="8" t="s">
        <v>62</v>
      </c>
      <c r="S2" s="1"/>
      <c r="T2" s="13" t="s">
        <v>71</v>
      </c>
    </row>
    <row r="3" spans="1:20" ht="75" x14ac:dyDescent="0.25">
      <c r="A3" s="2" t="s">
        <v>15</v>
      </c>
      <c r="B3" s="2" t="s">
        <v>18</v>
      </c>
      <c r="C3" s="2" t="s">
        <v>48</v>
      </c>
      <c r="D3" s="8" t="s">
        <v>28</v>
      </c>
      <c r="E3" s="8" t="s">
        <v>38</v>
      </c>
      <c r="F3" s="8" t="s">
        <v>53</v>
      </c>
      <c r="G3" s="2"/>
      <c r="H3" s="2"/>
      <c r="I3" s="2"/>
      <c r="J3" s="2">
        <v>4</v>
      </c>
      <c r="K3" s="2">
        <v>5</v>
      </c>
      <c r="L3" s="2">
        <f t="shared" ref="L3:L11" si="0">$J3*$K3</f>
        <v>20</v>
      </c>
      <c r="M3" s="2"/>
      <c r="N3" s="2">
        <v>4</v>
      </c>
      <c r="O3" s="2">
        <v>3</v>
      </c>
      <c r="P3" s="2">
        <f t="shared" ref="P3:P11" si="1">$N3*$O3</f>
        <v>12</v>
      </c>
      <c r="Q3" s="2"/>
      <c r="R3" s="8" t="s">
        <v>63</v>
      </c>
      <c r="S3" s="1"/>
      <c r="T3" s="13" t="s">
        <v>72</v>
      </c>
    </row>
    <row r="4" spans="1:20" ht="90" x14ac:dyDescent="0.25">
      <c r="A4" s="2" t="s">
        <v>16</v>
      </c>
      <c r="B4" s="2" t="s">
        <v>18</v>
      </c>
      <c r="C4" s="2" t="s">
        <v>48</v>
      </c>
      <c r="D4" s="9" t="s">
        <v>35</v>
      </c>
      <c r="E4" s="8" t="s">
        <v>54</v>
      </c>
      <c r="F4" s="8" t="s">
        <v>61</v>
      </c>
      <c r="G4" s="2"/>
      <c r="H4" s="2"/>
      <c r="I4" s="2"/>
      <c r="J4" s="2">
        <v>5</v>
      </c>
      <c r="K4" s="2">
        <v>4</v>
      </c>
      <c r="L4" s="2">
        <f t="shared" si="0"/>
        <v>20</v>
      </c>
      <c r="M4" s="2"/>
      <c r="N4" s="2">
        <v>4</v>
      </c>
      <c r="O4" s="2">
        <v>4</v>
      </c>
      <c r="P4" s="2">
        <f t="shared" si="1"/>
        <v>16</v>
      </c>
      <c r="Q4" s="2"/>
      <c r="R4" s="8" t="s">
        <v>64</v>
      </c>
      <c r="S4" s="1"/>
      <c r="T4" s="13" t="s">
        <v>73</v>
      </c>
    </row>
    <row r="5" spans="1:20" ht="60" x14ac:dyDescent="0.25">
      <c r="A5" s="2" t="s">
        <v>17</v>
      </c>
      <c r="B5" s="2" t="s">
        <v>18</v>
      </c>
      <c r="C5" s="2" t="s">
        <v>48</v>
      </c>
      <c r="D5" s="8" t="s">
        <v>36</v>
      </c>
      <c r="E5" s="8" t="s">
        <v>37</v>
      </c>
      <c r="F5" s="8" t="s">
        <v>74</v>
      </c>
      <c r="G5" s="2"/>
      <c r="H5" s="2"/>
      <c r="I5" s="2"/>
      <c r="J5" s="2">
        <v>5</v>
      </c>
      <c r="K5" s="2">
        <v>3</v>
      </c>
      <c r="L5" s="2">
        <f t="shared" si="0"/>
        <v>15</v>
      </c>
      <c r="M5" s="2"/>
      <c r="N5" s="2">
        <v>5</v>
      </c>
      <c r="O5" s="2">
        <v>2</v>
      </c>
      <c r="P5" s="2">
        <f t="shared" si="1"/>
        <v>10</v>
      </c>
      <c r="Q5" s="2"/>
      <c r="R5" s="10" t="s">
        <v>65</v>
      </c>
      <c r="S5" s="1"/>
      <c r="T5" s="13" t="s">
        <v>75</v>
      </c>
    </row>
    <row r="6" spans="1:20" ht="75" x14ac:dyDescent="0.25">
      <c r="A6" s="2" t="s">
        <v>29</v>
      </c>
      <c r="B6" s="2" t="s">
        <v>18</v>
      </c>
      <c r="C6" s="2" t="s">
        <v>48</v>
      </c>
      <c r="D6" s="8" t="s">
        <v>39</v>
      </c>
      <c r="E6" s="8" t="s">
        <v>44</v>
      </c>
      <c r="F6" s="8" t="s">
        <v>55</v>
      </c>
      <c r="G6" s="2"/>
      <c r="H6" s="2"/>
      <c r="I6" s="2"/>
      <c r="J6" s="2">
        <v>5</v>
      </c>
      <c r="K6" s="2">
        <v>5</v>
      </c>
      <c r="L6" s="2">
        <f t="shared" si="0"/>
        <v>25</v>
      </c>
      <c r="M6" s="2"/>
      <c r="N6" s="2">
        <v>5</v>
      </c>
      <c r="O6" s="2">
        <v>2</v>
      </c>
      <c r="P6" s="2">
        <f t="shared" si="1"/>
        <v>10</v>
      </c>
      <c r="Q6" s="2"/>
      <c r="R6" s="10" t="s">
        <v>66</v>
      </c>
      <c r="S6" s="1"/>
      <c r="T6" s="13" t="s">
        <v>76</v>
      </c>
    </row>
    <row r="7" spans="1:20" ht="75" x14ac:dyDescent="0.25">
      <c r="A7" s="2" t="s">
        <v>30</v>
      </c>
      <c r="B7" s="2" t="s">
        <v>18</v>
      </c>
      <c r="C7" s="2" t="s">
        <v>49</v>
      </c>
      <c r="D7" s="8" t="s">
        <v>40</v>
      </c>
      <c r="E7" s="8" t="s">
        <v>81</v>
      </c>
      <c r="F7" s="8" t="s">
        <v>56</v>
      </c>
      <c r="G7" s="2"/>
      <c r="H7" s="2"/>
      <c r="I7" s="2"/>
      <c r="J7" s="2">
        <v>5</v>
      </c>
      <c r="K7" s="2">
        <v>3</v>
      </c>
      <c r="L7" s="2">
        <f t="shared" si="0"/>
        <v>15</v>
      </c>
      <c r="M7" s="2"/>
      <c r="N7" s="2">
        <v>4</v>
      </c>
      <c r="O7" s="2">
        <v>3</v>
      </c>
      <c r="P7" s="2">
        <f t="shared" si="1"/>
        <v>12</v>
      </c>
      <c r="Q7" s="2"/>
      <c r="R7" s="10" t="s">
        <v>67</v>
      </c>
      <c r="S7" s="1"/>
      <c r="T7" s="13" t="s">
        <v>78</v>
      </c>
    </row>
    <row r="8" spans="1:20" ht="60" x14ac:dyDescent="0.25">
      <c r="A8" s="2" t="s">
        <v>31</v>
      </c>
      <c r="B8" s="2" t="s">
        <v>18</v>
      </c>
      <c r="C8" s="2" t="s">
        <v>50</v>
      </c>
      <c r="D8" s="8" t="s">
        <v>41</v>
      </c>
      <c r="E8" s="8" t="s">
        <v>45</v>
      </c>
      <c r="F8" s="2" t="s">
        <v>57</v>
      </c>
      <c r="G8" s="2"/>
      <c r="H8" s="2"/>
      <c r="I8" s="2"/>
      <c r="J8" s="2">
        <v>2</v>
      </c>
      <c r="K8" s="2">
        <v>2</v>
      </c>
      <c r="L8" s="2">
        <f t="shared" si="0"/>
        <v>4</v>
      </c>
      <c r="M8" s="2"/>
      <c r="N8" s="2">
        <v>2</v>
      </c>
      <c r="O8" s="2">
        <v>2</v>
      </c>
      <c r="P8" s="2">
        <f t="shared" si="1"/>
        <v>4</v>
      </c>
      <c r="Q8" s="2"/>
      <c r="R8" s="10"/>
      <c r="S8" s="1"/>
      <c r="T8" s="13" t="s">
        <v>77</v>
      </c>
    </row>
    <row r="9" spans="1:20" ht="45" x14ac:dyDescent="0.25">
      <c r="A9" s="2" t="s">
        <v>32</v>
      </c>
      <c r="B9" s="2" t="s">
        <v>18</v>
      </c>
      <c r="C9" s="2" t="s">
        <v>25</v>
      </c>
      <c r="D9" s="8" t="s">
        <v>42</v>
      </c>
      <c r="E9" s="8" t="s">
        <v>46</v>
      </c>
      <c r="F9" s="8" t="s">
        <v>58</v>
      </c>
      <c r="G9" s="2"/>
      <c r="H9" s="2"/>
      <c r="I9" s="2"/>
      <c r="J9" s="2">
        <v>3</v>
      </c>
      <c r="K9" s="2">
        <v>5</v>
      </c>
      <c r="L9" s="2">
        <f t="shared" si="0"/>
        <v>15</v>
      </c>
      <c r="M9" s="2"/>
      <c r="N9" s="2">
        <v>0</v>
      </c>
      <c r="O9" s="2">
        <v>0</v>
      </c>
      <c r="P9" s="2">
        <f t="shared" si="1"/>
        <v>0</v>
      </c>
      <c r="Q9" s="2"/>
      <c r="R9" s="10" t="s">
        <v>68</v>
      </c>
      <c r="S9" s="1"/>
      <c r="T9" s="13" t="s">
        <v>79</v>
      </c>
    </row>
    <row r="10" spans="1:20" ht="75" x14ac:dyDescent="0.25">
      <c r="A10" s="2" t="s">
        <v>33</v>
      </c>
      <c r="B10" s="2" t="s">
        <v>18</v>
      </c>
      <c r="C10" s="2" t="s">
        <v>51</v>
      </c>
      <c r="D10" s="8" t="s">
        <v>43</v>
      </c>
      <c r="E10" s="8" t="s">
        <v>47</v>
      </c>
      <c r="F10" s="8" t="s">
        <v>59</v>
      </c>
      <c r="G10" s="2"/>
      <c r="H10" s="2"/>
      <c r="I10" s="2"/>
      <c r="J10" s="2">
        <v>4</v>
      </c>
      <c r="K10" s="2">
        <v>4</v>
      </c>
      <c r="L10" s="2">
        <f t="shared" si="0"/>
        <v>16</v>
      </c>
      <c r="M10" s="2"/>
      <c r="N10" s="2">
        <v>2</v>
      </c>
      <c r="O10" s="2">
        <v>4</v>
      </c>
      <c r="P10" s="2">
        <f t="shared" si="1"/>
        <v>8</v>
      </c>
      <c r="Q10" s="2"/>
      <c r="R10" s="10" t="s">
        <v>69</v>
      </c>
      <c r="S10" s="1"/>
      <c r="T10" s="13" t="s">
        <v>80</v>
      </c>
    </row>
    <row r="11" spans="1:20" ht="90" x14ac:dyDescent="0.25">
      <c r="A11" s="2" t="s">
        <v>34</v>
      </c>
      <c r="B11" s="2" t="s">
        <v>18</v>
      </c>
      <c r="C11" s="2" t="s">
        <v>48</v>
      </c>
      <c r="D11" s="8" t="s">
        <v>82</v>
      </c>
      <c r="E11" s="8" t="s">
        <v>83</v>
      </c>
      <c r="F11" s="8" t="s">
        <v>84</v>
      </c>
      <c r="G11" s="2"/>
      <c r="H11" s="2"/>
      <c r="I11" s="2"/>
      <c r="J11" s="2">
        <v>5</v>
      </c>
      <c r="K11" s="2">
        <v>3</v>
      </c>
      <c r="L11" s="2">
        <f t="shared" si="0"/>
        <v>15</v>
      </c>
      <c r="M11" s="2"/>
      <c r="N11" s="2">
        <v>5</v>
      </c>
      <c r="O11" s="2">
        <v>2</v>
      </c>
      <c r="P11" s="2">
        <f t="shared" si="1"/>
        <v>10</v>
      </c>
      <c r="Q11" s="2"/>
      <c r="R11" s="10" t="s">
        <v>85</v>
      </c>
      <c r="S11" s="1"/>
      <c r="T11" s="13" t="s">
        <v>86</v>
      </c>
    </row>
  </sheetData>
  <phoneticPr fontId="1" type="noConversion"/>
  <conditionalFormatting sqref="J1:L1048576">
    <cfRule type="expression" dxfId="5" priority="5" stopIfTrue="1">
      <formula>AND(ISNUMBER($L1),$L1&gt;=15,$L1&lt;20)</formula>
    </cfRule>
    <cfRule type="expression" dxfId="4" priority="6">
      <formula>AND(ISNUMBER($L1),$L1&lt;15)</formula>
    </cfRule>
  </conditionalFormatting>
  <conditionalFormatting sqref="J2:L1048576">
    <cfRule type="expression" dxfId="3" priority="4" stopIfTrue="1">
      <formula>OR($L2=20,$L2&gt;20)</formula>
    </cfRule>
  </conditionalFormatting>
  <conditionalFormatting sqref="N1:P1048576">
    <cfRule type="expression" dxfId="2" priority="1" stopIfTrue="1">
      <formula>AND(ISNUMBER($P1),$P1&gt;20)</formula>
    </cfRule>
    <cfRule type="expression" dxfId="1" priority="2">
      <formula>AND(ISNUMBER($P1),$P1&gt;=15,$P1&lt;20)</formula>
    </cfRule>
    <cfRule type="expression" dxfId="0" priority="3">
      <formula>AND(ISNUMBER($P1),$P1&lt;15)</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Acceptance Criteria</vt:lpstr>
      <vt:lpstr>Risk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Stone Gorman</dc:creator>
  <cp:lastModifiedBy>Stone Gorman</cp:lastModifiedBy>
  <dcterms:created xsi:type="dcterms:W3CDTF">2026-04-04T17:39:10Z</dcterms:created>
  <dcterms:modified xsi:type="dcterms:W3CDTF">2026-04-09T00:10:50Z</dcterms:modified>
</cp:coreProperties>
</file>